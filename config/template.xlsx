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ris\CLionProjects\FinDashCpp\config\"/>
    </mc:Choice>
  </mc:AlternateContent>
  <xr:revisionPtr revIDLastSave="0" documentId="13_ncr:1_{B5393D4E-397A-4743-B8C4-2169AF7CCB40}" xr6:coauthVersionLast="47" xr6:coauthVersionMax="47" xr10:uidLastSave="{00000000-0000-0000-0000-000000000000}"/>
  <bookViews>
    <workbookView xWindow="670" yWindow="1460" windowWidth="17060" windowHeight="17050" xr2:uid="{00000000-000D-0000-FFFF-FFFF00000000}"/>
  </bookViews>
  <sheets>
    <sheet name="Daily Report" sheetId="1" r:id="rId1"/>
    <sheet name="Instructions" sheetId="2" state="hidden" r:id="rId2"/>
  </sheets>
  <definedNames>
    <definedName name="_xlnm.Print_Area" localSheetId="0">'Daily Report'!$A$1:$F$58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D58" i="1"/>
  <c r="B58" i="1"/>
  <c r="F18" i="1"/>
  <c r="F9" i="1"/>
  <c r="F7" i="1"/>
  <c r="B19" i="1" l="1"/>
  <c r="B18" i="1"/>
  <c r="F8" i="1" l="1"/>
  <c r="F11" i="1" l="1"/>
  <c r="B20" i="1" l="1"/>
  <c r="E50" i="1" l="1"/>
  <c r="F44" i="1"/>
  <c r="E44" i="1"/>
  <c r="F41" i="1"/>
  <c r="E41" i="1"/>
  <c r="F50" i="1"/>
  <c r="F37" i="1"/>
  <c r="E37" i="1"/>
  <c r="F29" i="1" l="1"/>
  <c r="E29" i="1"/>
  <c r="F28" i="1" l="1"/>
  <c r="F31" i="1"/>
  <c r="F32" i="1"/>
  <c r="E31" i="1"/>
  <c r="E32" i="1"/>
  <c r="E27" i="1" l="1"/>
  <c r="F27" i="1" l="1"/>
  <c r="E58" i="1" l="1"/>
  <c r="F58" i="1"/>
  <c r="B17" i="1" l="1"/>
  <c r="C7" i="1" l="1"/>
  <c r="C19" i="1" l="1"/>
  <c r="C9" i="1"/>
  <c r="C11" i="1"/>
  <c r="C22" i="1" l="1"/>
</calcChain>
</file>

<file path=xl/sharedStrings.xml><?xml version="1.0" encoding="utf-8"?>
<sst xmlns="http://schemas.openxmlformats.org/spreadsheetml/2006/main" count="63" uniqueCount="54">
  <si>
    <t xml:space="preserve"> </t>
  </si>
  <si>
    <t>Banking</t>
  </si>
  <si>
    <t>Today</t>
  </si>
  <si>
    <t>Today's Deposit</t>
  </si>
  <si>
    <t>Last Year Today</t>
  </si>
  <si>
    <t>Deposit This Month</t>
  </si>
  <si>
    <t>Two Weeks</t>
  </si>
  <si>
    <t>Operating Expenses</t>
  </si>
  <si>
    <t>Last Year Two Weeks</t>
  </si>
  <si>
    <t>First State Bank (Operations)</t>
  </si>
  <si>
    <t xml:space="preserve">  </t>
  </si>
  <si>
    <t>12 Months</t>
  </si>
  <si>
    <t>Last Year 12 Months</t>
  </si>
  <si>
    <t>First State Bank (Holding)</t>
  </si>
  <si>
    <t xml:space="preserve">Debt on LOC </t>
  </si>
  <si>
    <t>Marina Berry- 2 Stickney Ln</t>
  </si>
  <si>
    <t>Room Occupancy Stats</t>
  </si>
  <si>
    <t>Guest Privilege</t>
  </si>
  <si>
    <t>Daily visits</t>
  </si>
  <si>
    <t>Occupied Rooms</t>
  </si>
  <si>
    <t>Multi-Passes Today</t>
  </si>
  <si>
    <t>Today's ADR</t>
  </si>
  <si>
    <t>Revenue</t>
  </si>
  <si>
    <t>MTD ADR</t>
  </si>
  <si>
    <t>MTD Revenue</t>
  </si>
  <si>
    <t>LY Month ADR</t>
  </si>
  <si>
    <t>14 Day Increase (visits)</t>
  </si>
  <si>
    <t>Today's RevPar</t>
  </si>
  <si>
    <t>.</t>
  </si>
  <si>
    <t>MTD RevPar</t>
  </si>
  <si>
    <t>LY Month RevPar</t>
  </si>
  <si>
    <t>MTD</t>
  </si>
  <si>
    <t>MTD-LY</t>
  </si>
  <si>
    <t>Variance $</t>
  </si>
  <si>
    <t>Variance %</t>
  </si>
  <si>
    <t xml:space="preserve">     Room Revenue</t>
  </si>
  <si>
    <t xml:space="preserve">     Room Revenue (TE)</t>
  </si>
  <si>
    <t xml:space="preserve">     Café Bar</t>
  </si>
  <si>
    <t xml:space="preserve">     Café Food</t>
  </si>
  <si>
    <t xml:space="preserve">     Guest Privilege</t>
  </si>
  <si>
    <t xml:space="preserve">     Laundry</t>
  </si>
  <si>
    <t xml:space="preserve">     Misc Adjust</t>
  </si>
  <si>
    <t xml:space="preserve">     Retail</t>
  </si>
  <si>
    <t>TOTAL REVENUE</t>
  </si>
  <si>
    <t>PAUL:  Please don't forget to change the date at the top of the report each day.</t>
  </si>
  <si>
    <t>Also, please hide this instruction sheet before copying it over to to FTP site.  Just right-click on the tab below, labeled "Instructions", and choose "Hide".</t>
  </si>
  <si>
    <t>Thank You!</t>
  </si>
  <si>
    <t>(…to be updated)</t>
  </si>
  <si>
    <t>…Weston, the date was still showing from Tuesday ???..I am changing the date but it is not saving it…..Paul</t>
  </si>
  <si>
    <t>Rooms</t>
  </si>
  <si>
    <t>Bookings</t>
  </si>
  <si>
    <t xml:space="preserve">     Room Revenue - Other</t>
  </si>
  <si>
    <t xml:space="preserve">     Massage</t>
  </si>
  <si>
    <t xml:space="preserve">     Guest Relations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</si>
</sst>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.0%"/>
    <numFmt numFmtId="167" formatCode="&quot;$&quot;#,##0;[Red]&quot;$&quot;#,##0"/>
    <numFmt numFmtId="168" formatCode="0;\-0;;@"/>
    <numFmt numFmtId="169" formatCode="[$-F800]dddd\,\ mmmm\ dd\,\ yyyy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B0F0"/>
      <name val="Arial"/>
      <family val="2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5">
    <xf numFmtId="0" fontId="0" fillId="0" borderId="0"/>
    <xf numFmtId="43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2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2">
    <xf numFmtId="0" fontId="0" fillId="0" borderId="0" xfId="0"/>
    <xf numFmtId="6" fontId="0" fillId="0" borderId="0" xfId="0" applyNumberFormat="1"/>
    <xf numFmtId="164" fontId="11" fillId="0" borderId="1" xfId="0" applyNumberFormat="1" applyFont="1" applyBorder="1"/>
    <xf numFmtId="0" fontId="10" fillId="0" borderId="1" xfId="0" applyFont="1" applyBorder="1"/>
    <xf numFmtId="165" fontId="11" fillId="0" borderId="1" xfId="0" applyNumberFormat="1" applyFont="1" applyBorder="1"/>
    <xf numFmtId="165" fontId="10" fillId="0" borderId="1" xfId="0" applyNumberFormat="1" applyFont="1" applyBorder="1"/>
    <xf numFmtId="164" fontId="8" fillId="0" borderId="0" xfId="0" applyNumberFormat="1" applyFont="1"/>
    <xf numFmtId="0" fontId="8" fillId="0" borderId="0" xfId="0" applyFont="1"/>
    <xf numFmtId="164" fontId="0" fillId="0" borderId="0" xfId="0" applyNumberFormat="1"/>
    <xf numFmtId="167" fontId="0" fillId="0" borderId="0" xfId="0" applyNumberFormat="1"/>
    <xf numFmtId="6" fontId="10" fillId="0" borderId="0" xfId="0" applyNumberFormat="1" applyFont="1" applyAlignment="1">
      <alignment horizontal="right"/>
    </xf>
    <xf numFmtId="166" fontId="0" fillId="0" borderId="0" xfId="0" applyNumberFormat="1"/>
    <xf numFmtId="165" fontId="10" fillId="0" borderId="2" xfId="0" applyNumberFormat="1" applyFont="1" applyBorder="1"/>
    <xf numFmtId="7" fontId="0" fillId="0" borderId="0" xfId="0" applyNumberFormat="1"/>
    <xf numFmtId="1" fontId="0" fillId="0" borderId="0" xfId="0" applyNumberFormat="1"/>
    <xf numFmtId="1" fontId="0" fillId="0" borderId="1" xfId="0" applyNumberFormat="1" applyBorder="1" applyAlignment="1" applyProtection="1">
      <alignment horizontal="center"/>
      <protection locked="0"/>
    </xf>
    <xf numFmtId="1" fontId="0" fillId="0" borderId="4" xfId="0" applyNumberFormat="1" applyBorder="1" applyAlignment="1" applyProtection="1">
      <alignment horizontal="center"/>
      <protection locked="0"/>
    </xf>
    <xf numFmtId="1" fontId="0" fillId="0" borderId="5" xfId="0" applyNumberFormat="1" applyBorder="1" applyAlignment="1" applyProtection="1">
      <alignment horizontal="center"/>
      <protection locked="0"/>
    </xf>
    <xf numFmtId="1" fontId="0" fillId="0" borderId="17" xfId="0" applyNumberFormat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8" fontId="0" fillId="0" borderId="3" xfId="0" applyNumberFormat="1" applyBorder="1" applyAlignment="1" applyProtection="1">
      <alignment horizontal="center"/>
      <protection locked="0"/>
    </xf>
    <xf numFmtId="6" fontId="0" fillId="0" borderId="0" xfId="0" applyNumberFormat="1" applyProtection="1">
      <protection locked="0"/>
    </xf>
    <xf numFmtId="40" fontId="0" fillId="0" borderId="0" xfId="0" applyNumberFormat="1" applyProtection="1">
      <protection locked="0"/>
    </xf>
    <xf numFmtId="8" fontId="0" fillId="0" borderId="6" xfId="0" applyNumberFormat="1" applyBorder="1" applyAlignment="1" applyProtection="1">
      <alignment horizontal="center"/>
      <protection locked="0"/>
    </xf>
    <xf numFmtId="0" fontId="15" fillId="0" borderId="10" xfId="0" applyFont="1" applyBorder="1" applyAlignment="1" applyProtection="1">
      <alignment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40" fontId="8" fillId="0" borderId="11" xfId="0" applyNumberFormat="1" applyFont="1" applyBorder="1" applyAlignment="1" applyProtection="1">
      <alignment horizontal="center" vertical="center"/>
      <protection locked="0"/>
    </xf>
    <xf numFmtId="6" fontId="8" fillId="0" borderId="11" xfId="0" applyNumberFormat="1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right"/>
      <protection locked="0"/>
    </xf>
    <xf numFmtId="0" fontId="8" fillId="0" borderId="14" xfId="0" applyFont="1" applyBorder="1" applyAlignment="1" applyProtection="1">
      <alignment horizontal="right"/>
      <protection locked="0"/>
    </xf>
    <xf numFmtId="0" fontId="15" fillId="0" borderId="8" xfId="0" applyFont="1" applyBorder="1" applyAlignment="1" applyProtection="1">
      <alignment vertical="center"/>
      <protection locked="0"/>
    </xf>
    <xf numFmtId="40" fontId="8" fillId="0" borderId="7" xfId="0" applyNumberFormat="1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166" fontId="13" fillId="0" borderId="1" xfId="0" applyNumberFormat="1" applyFont="1" applyBorder="1" applyAlignment="1" applyProtection="1">
      <alignment horizontal="right"/>
      <protection locked="0"/>
    </xf>
    <xf numFmtId="5" fontId="7" fillId="0" borderId="0" xfId="4" applyNumberFormat="1" applyBorder="1" applyAlignment="1" applyProtection="1">
      <alignment horizontal="right"/>
      <protection locked="0"/>
    </xf>
    <xf numFmtId="10" fontId="0" fillId="0" borderId="0" xfId="0" applyNumberFormat="1" applyAlignment="1" applyProtection="1">
      <alignment horizontal="center"/>
      <protection locked="0"/>
    </xf>
    <xf numFmtId="40" fontId="0" fillId="0" borderId="9" xfId="0" applyNumberFormat="1" applyBorder="1" applyAlignment="1" applyProtection="1">
      <alignment horizontal="center"/>
      <protection locked="0"/>
    </xf>
    <xf numFmtId="8" fontId="0" fillId="0" borderId="9" xfId="0" applyNumberFormat="1" applyBorder="1" applyAlignment="1" applyProtection="1">
      <alignment horizontal="center"/>
      <protection locked="0"/>
    </xf>
    <xf numFmtId="38" fontId="0" fillId="0" borderId="23" xfId="0" applyNumberFormat="1" applyBorder="1" applyAlignment="1" applyProtection="1">
      <alignment horizontal="right"/>
      <protection locked="0"/>
    </xf>
    <xf numFmtId="166" fontId="8" fillId="0" borderId="26" xfId="0" applyNumberFormat="1" applyFont="1" applyBorder="1" applyAlignment="1" applyProtection="1">
      <alignment horizontal="right"/>
      <protection locked="0"/>
    </xf>
    <xf numFmtId="10" fontId="0" fillId="0" borderId="9" xfId="0" applyNumberFormat="1" applyBorder="1" applyProtection="1">
      <protection locked="0"/>
    </xf>
    <xf numFmtId="10" fontId="0" fillId="0" borderId="9" xfId="0" applyNumberFormat="1" applyBorder="1" applyAlignment="1" applyProtection="1">
      <alignment horizontal="center"/>
      <protection locked="0"/>
    </xf>
    <xf numFmtId="6" fontId="0" fillId="0" borderId="23" xfId="0" applyNumberFormat="1" applyBorder="1" applyProtection="1">
      <protection locked="0"/>
    </xf>
    <xf numFmtId="6" fontId="7" fillId="0" borderId="4" xfId="4" applyNumberFormat="1" applyBorder="1" applyProtection="1">
      <protection locked="0"/>
    </xf>
    <xf numFmtId="6" fontId="7" fillId="0" borderId="23" xfId="0" applyNumberFormat="1" applyFont="1" applyBorder="1" applyAlignment="1" applyProtection="1">
      <alignment horizontal="right"/>
      <protection locked="0"/>
    </xf>
    <xf numFmtId="0" fontId="7" fillId="0" borderId="24" xfId="0" applyFont="1" applyBorder="1" applyProtection="1">
      <protection locked="0"/>
    </xf>
    <xf numFmtId="6" fontId="0" fillId="0" borderId="25" xfId="0" applyNumberFormat="1" applyBorder="1" applyProtection="1">
      <protection locked="0"/>
    </xf>
    <xf numFmtId="6" fontId="0" fillId="0" borderId="27" xfId="0" applyNumberFormat="1" applyBorder="1" applyProtection="1">
      <protection locked="0"/>
    </xf>
    <xf numFmtId="0" fontId="9" fillId="0" borderId="0" xfId="0" applyFont="1" applyProtection="1">
      <protection locked="0"/>
    </xf>
    <xf numFmtId="0" fontId="0" fillId="0" borderId="28" xfId="0" applyBorder="1" applyProtection="1">
      <protection locked="0"/>
    </xf>
    <xf numFmtId="0" fontId="0" fillId="0" borderId="29" xfId="0" applyBorder="1" applyProtection="1">
      <protection locked="0"/>
    </xf>
    <xf numFmtId="5" fontId="7" fillId="0" borderId="27" xfId="4" applyNumberFormat="1" applyBorder="1" applyAlignment="1" applyProtection="1">
      <alignment horizontal="right"/>
      <protection locked="0"/>
    </xf>
    <xf numFmtId="8" fontId="0" fillId="0" borderId="0" xfId="0" applyNumberFormat="1" applyAlignment="1" applyProtection="1">
      <alignment horizontal="center"/>
      <protection locked="0"/>
    </xf>
    <xf numFmtId="164" fontId="7" fillId="0" borderId="23" xfId="0" applyNumberFormat="1" applyFont="1" applyBorder="1" applyAlignment="1" applyProtection="1">
      <alignment horizontal="right"/>
      <protection locked="0"/>
    </xf>
    <xf numFmtId="164" fontId="7" fillId="0" borderId="23" xfId="0" applyNumberFormat="1" applyFont="1" applyBorder="1" applyAlignment="1">
      <alignment horizontal="right"/>
    </xf>
    <xf numFmtId="5" fontId="7" fillId="0" borderId="23" xfId="0" applyNumberFormat="1" applyFont="1" applyBorder="1" applyAlignment="1" applyProtection="1">
      <alignment horizontal="right"/>
      <protection locked="0"/>
    </xf>
    <xf numFmtId="165" fontId="10" fillId="0" borderId="16" xfId="0" applyNumberFormat="1" applyFont="1" applyBorder="1"/>
    <xf numFmtId="166" fontId="13" fillId="0" borderId="33" xfId="0" applyNumberFormat="1" applyFont="1" applyBorder="1" applyAlignment="1" applyProtection="1">
      <alignment horizontal="right"/>
      <protection locked="0"/>
    </xf>
    <xf numFmtId="166" fontId="13" fillId="0" borderId="8" xfId="0" applyNumberFormat="1" applyFont="1" applyBorder="1" applyAlignment="1" applyProtection="1">
      <alignment horizontal="right"/>
      <protection locked="0"/>
    </xf>
    <xf numFmtId="0" fontId="7" fillId="0" borderId="35" xfId="0" applyFont="1" applyBorder="1" applyProtection="1">
      <protection locked="0"/>
    </xf>
    <xf numFmtId="40" fontId="7" fillId="0" borderId="18" xfId="0" applyNumberFormat="1" applyFont="1" applyBorder="1" applyAlignment="1" applyProtection="1">
      <alignment horizontal="right"/>
      <protection locked="0"/>
    </xf>
    <xf numFmtId="40" fontId="7" fillId="0" borderId="31" xfId="0" applyNumberFormat="1" applyFont="1" applyBorder="1" applyAlignment="1" applyProtection="1">
      <alignment horizontal="right"/>
      <protection locked="0"/>
    </xf>
    <xf numFmtId="40" fontId="7" fillId="0" borderId="34" xfId="0" applyNumberFormat="1" applyFont="1" applyBorder="1" applyAlignment="1" applyProtection="1">
      <alignment horizontal="right"/>
      <protection locked="0"/>
    </xf>
    <xf numFmtId="164" fontId="8" fillId="0" borderId="8" xfId="0" applyNumberFormat="1" applyFont="1" applyBorder="1" applyAlignment="1">
      <alignment horizontal="right"/>
    </xf>
    <xf numFmtId="40" fontId="7" fillId="0" borderId="37" xfId="0" applyNumberFormat="1" applyFont="1" applyBorder="1" applyAlignment="1" applyProtection="1">
      <alignment horizontal="right"/>
      <protection locked="0"/>
    </xf>
    <xf numFmtId="166" fontId="13" fillId="0" borderId="7" xfId="0" applyNumberFormat="1" applyFont="1" applyBorder="1" applyAlignment="1" applyProtection="1">
      <alignment horizontal="right"/>
      <protection locked="0"/>
    </xf>
    <xf numFmtId="40" fontId="18" fillId="0" borderId="37" xfId="0" applyNumberFormat="1" applyFont="1" applyBorder="1" applyAlignment="1" applyProtection="1">
      <alignment horizontal="right"/>
      <protection locked="0"/>
    </xf>
    <xf numFmtId="0" fontId="7" fillId="0" borderId="36" xfId="0" applyFont="1" applyBorder="1" applyProtection="1">
      <protection locked="0"/>
    </xf>
    <xf numFmtId="0" fontId="8" fillId="0" borderId="8" xfId="0" applyFont="1" applyBorder="1" applyProtection="1">
      <protection locked="0"/>
    </xf>
    <xf numFmtId="168" fontId="0" fillId="0" borderId="1" xfId="0" applyNumberFormat="1" applyBorder="1"/>
    <xf numFmtId="168" fontId="0" fillId="0" borderId="1" xfId="0" applyNumberFormat="1" applyBorder="1" applyAlignment="1">
      <alignment horizontal="right"/>
    </xf>
    <xf numFmtId="168" fontId="7" fillId="0" borderId="1" xfId="0" applyNumberFormat="1" applyFont="1" applyBorder="1" applyAlignment="1" applyProtection="1">
      <alignment horizontal="right"/>
      <protection locked="0"/>
    </xf>
    <xf numFmtId="168" fontId="13" fillId="0" borderId="1" xfId="0" applyNumberFormat="1" applyFont="1" applyBorder="1" applyAlignment="1" applyProtection="1">
      <alignment horizontal="right"/>
      <protection locked="0"/>
    </xf>
    <xf numFmtId="168" fontId="7" fillId="0" borderId="1" xfId="0" applyNumberFormat="1" applyFont="1" applyBorder="1" applyProtection="1">
      <protection locked="0"/>
    </xf>
    <xf numFmtId="168" fontId="18" fillId="0" borderId="1" xfId="0" applyNumberFormat="1" applyFont="1" applyBorder="1" applyAlignment="1" applyProtection="1">
      <alignment horizontal="right"/>
      <protection locked="0"/>
    </xf>
    <xf numFmtId="168" fontId="10" fillId="0" borderId="1" xfId="0" applyNumberFormat="1" applyFont="1" applyBorder="1" applyProtection="1">
      <protection locked="0"/>
    </xf>
    <xf numFmtId="165" fontId="7" fillId="0" borderId="37" xfId="0" applyNumberFormat="1" applyFont="1" applyBorder="1" applyAlignment="1" applyProtection="1">
      <alignment horizontal="right"/>
      <protection locked="0"/>
    </xf>
    <xf numFmtId="44" fontId="0" fillId="0" borderId="4" xfId="0" applyNumberFormat="1" applyBorder="1"/>
    <xf numFmtId="1" fontId="7" fillId="0" borderId="23" xfId="0" applyNumberFormat="1" applyFont="1" applyBorder="1" applyAlignment="1" applyProtection="1">
      <alignment horizontal="right"/>
      <protection locked="0"/>
    </xf>
    <xf numFmtId="164" fontId="7" fillId="0" borderId="26" xfId="0" applyNumberFormat="1" applyFont="1" applyBorder="1" applyAlignment="1">
      <alignment horizontal="right"/>
    </xf>
    <xf numFmtId="0" fontId="7" fillId="0" borderId="15" xfId="0" applyFont="1" applyBorder="1" applyProtection="1">
      <protection locked="0"/>
    </xf>
    <xf numFmtId="40" fontId="7" fillId="0" borderId="16" xfId="0" applyNumberFormat="1" applyFont="1" applyBorder="1" applyAlignment="1" applyProtection="1">
      <alignment horizontal="right"/>
      <protection locked="0"/>
    </xf>
    <xf numFmtId="40" fontId="7" fillId="0" borderId="32" xfId="0" applyNumberFormat="1" applyFont="1" applyBorder="1" applyAlignment="1" applyProtection="1">
      <alignment horizontal="right"/>
      <protection locked="0"/>
    </xf>
    <xf numFmtId="0" fontId="7" fillId="0" borderId="30" xfId="0" applyFont="1" applyBorder="1" applyProtection="1">
      <protection locked="0"/>
    </xf>
    <xf numFmtId="40" fontId="7" fillId="0" borderId="3" xfId="0" applyNumberFormat="1" applyFont="1" applyBorder="1" applyAlignment="1" applyProtection="1">
      <alignment horizontal="right"/>
      <protection locked="0"/>
    </xf>
    <xf numFmtId="40" fontId="7" fillId="0" borderId="6" xfId="0" applyNumberFormat="1" applyFont="1" applyBorder="1" applyAlignment="1" applyProtection="1">
      <alignment horizontal="right"/>
      <protection locked="0"/>
    </xf>
    <xf numFmtId="165" fontId="7" fillId="0" borderId="3" xfId="0" applyNumberFormat="1" applyFont="1" applyBorder="1"/>
    <xf numFmtId="0" fontId="7" fillId="0" borderId="0" xfId="0" applyFont="1" applyAlignment="1">
      <alignment vertical="top" wrapText="1"/>
    </xf>
    <xf numFmtId="6" fontId="0" fillId="0" borderId="23" xfId="0" applyNumberFormat="1" applyBorder="1" applyAlignment="1" applyProtection="1">
      <alignment horizontal="right"/>
      <protection locked="0"/>
    </xf>
    <xf numFmtId="6" fontId="7" fillId="0" borderId="4" xfId="4" applyNumberFormat="1" applyFill="1" applyBorder="1" applyProtection="1">
      <protection locked="0"/>
    </xf>
    <xf numFmtId="0" fontId="0" fillId="0" borderId="13" xfId="0" applyBorder="1" applyProtection="1">
      <protection locked="0"/>
    </xf>
    <xf numFmtId="6" fontId="7" fillId="0" borderId="4" xfId="0" applyNumberFormat="1" applyFont="1" applyBorder="1" applyAlignment="1" applyProtection="1">
      <alignment horizontal="right"/>
      <protection locked="0"/>
    </xf>
    <xf numFmtId="0" fontId="7" fillId="0" borderId="13" xfId="0" applyFont="1" applyBorder="1" applyProtection="1">
      <protection locked="0"/>
    </xf>
    <xf numFmtId="0" fontId="0" fillId="0" borderId="14" xfId="0" applyBorder="1" applyProtection="1">
      <protection locked="0"/>
    </xf>
    <xf numFmtId="169" fontId="19" fillId="2" borderId="0" xfId="0" applyNumberFormat="1" applyFont="1" applyFill="1" applyAlignment="1">
      <alignment horizontal="center"/>
    </xf>
    <xf numFmtId="0" fontId="15" fillId="0" borderId="19" xfId="0" applyFont="1" applyBorder="1" applyAlignment="1" applyProtection="1">
      <alignment vertical="center"/>
      <protection locked="0"/>
    </xf>
    <xf numFmtId="0" fontId="15" fillId="0" borderId="20" xfId="0" applyFont="1" applyBorder="1" applyAlignment="1" applyProtection="1">
      <alignment vertical="center"/>
      <protection locked="0"/>
    </xf>
    <xf numFmtId="0" fontId="15" fillId="0" borderId="21" xfId="0" applyFont="1" applyBorder="1" applyAlignment="1" applyProtection="1">
      <alignment vertical="center"/>
      <protection locked="0"/>
    </xf>
    <xf numFmtId="0" fontId="0" fillId="0" borderId="22" xfId="0" applyBorder="1" applyProtection="1">
      <protection locked="0"/>
    </xf>
    <xf numFmtId="0" fontId="0" fillId="0" borderId="16" xfId="0" applyBorder="1" applyProtection="1">
      <protection locked="0"/>
    </xf>
    <xf numFmtId="0" fontId="15" fillId="0" borderId="10" xfId="0" applyFont="1" applyBorder="1" applyAlignment="1" applyProtection="1">
      <alignment vertical="center"/>
      <protection locked="0"/>
    </xf>
    <xf numFmtId="0" fontId="15" fillId="0" borderId="12" xfId="0" applyFont="1" applyBorder="1" applyAlignment="1" applyProtection="1">
      <alignment vertical="center"/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</cellXfs>
  <cellStyles count="25">
    <cellStyle name="Comma 10" xfId="20" xr:uid="{00000000-0005-0000-0000-000000000000}"/>
    <cellStyle name="Comma 11" xfId="23" xr:uid="{00000000-0005-0000-0000-000001000000}"/>
    <cellStyle name="Comma 2" xfId="1" xr:uid="{00000000-0005-0000-0000-000002000000}"/>
    <cellStyle name="Comma 3" xfId="2" xr:uid="{00000000-0005-0000-0000-000003000000}"/>
    <cellStyle name="Comma 4" xfId="3" xr:uid="{00000000-0005-0000-0000-000004000000}"/>
    <cellStyle name="Comma 5" xfId="6" xr:uid="{00000000-0005-0000-0000-000005000000}"/>
    <cellStyle name="Comma 6" xfId="8" xr:uid="{00000000-0005-0000-0000-000006000000}"/>
    <cellStyle name="Comma 7" xfId="11" xr:uid="{00000000-0005-0000-0000-000007000000}"/>
    <cellStyle name="Comma 8" xfId="14" xr:uid="{00000000-0005-0000-0000-000008000000}"/>
    <cellStyle name="Comma 9" xfId="17" xr:uid="{00000000-0005-0000-0000-000009000000}"/>
    <cellStyle name="Currency" xfId="4" builtinId="4"/>
    <cellStyle name="Currency 2" xfId="9" xr:uid="{00000000-0005-0000-0000-00000B000000}"/>
    <cellStyle name="Currency 3" xfId="12" xr:uid="{00000000-0005-0000-0000-00000C000000}"/>
    <cellStyle name="Currency 4" xfId="15" xr:uid="{00000000-0005-0000-0000-00000D000000}"/>
    <cellStyle name="Currency 5" xfId="18" xr:uid="{00000000-0005-0000-0000-00000E000000}"/>
    <cellStyle name="Currency 6" xfId="21" xr:uid="{00000000-0005-0000-0000-00000F000000}"/>
    <cellStyle name="Currency 7" xfId="24" xr:uid="{00000000-0005-0000-0000-000010000000}"/>
    <cellStyle name="Normal" xfId="0" builtinId="0"/>
    <cellStyle name="Normal 2" xfId="5" xr:uid="{00000000-0005-0000-0000-000012000000}"/>
    <cellStyle name="Normal 3" xfId="7" xr:uid="{00000000-0005-0000-0000-000013000000}"/>
    <cellStyle name="Normal 4" xfId="10" xr:uid="{00000000-0005-0000-0000-000014000000}"/>
    <cellStyle name="Normal 5" xfId="13" xr:uid="{00000000-0005-0000-0000-000015000000}"/>
    <cellStyle name="Normal 6" xfId="16" xr:uid="{00000000-0005-0000-0000-000016000000}"/>
    <cellStyle name="Normal 7" xfId="19" xr:uid="{00000000-0005-0000-0000-000017000000}"/>
    <cellStyle name="Normal 8" xfId="22" xr:uid="{00000000-0005-0000-0000-000018000000}"/>
  </cellStyles>
  <dxfs count="7"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/>
      </font>
      <fill>
        <patternFill>
          <bgColor theme="2"/>
        </patternFill>
      </fill>
      <border>
        <left/>
        <right/>
        <top style="thin">
          <color theme="9" tint="-0.499984740745262"/>
        </top>
        <bottom/>
      </border>
    </dxf>
    <dxf>
      <font>
        <b/>
        <i val="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3:J61"/>
  <sheetViews>
    <sheetView showGridLines="0" tabSelected="1" topLeftCell="A12" zoomScale="140" zoomScaleNormal="140" workbookViewId="0">
      <selection activeCell="A41" sqref="A41"/>
    </sheetView>
  </sheetViews>
  <sheetFormatPr defaultColWidth="8.81640625" defaultRowHeight="12.5" x14ac:dyDescent="0.25"/>
  <cols>
    <col min="1" max="1" width="27.453125" customWidth="1"/>
    <col min="2" max="6" width="13.81640625" customWidth="1"/>
    <col min="7" max="7" width="9.6328125" hidden="1" customWidth="1"/>
    <col min="8" max="8" width="10.36328125" bestFit="1" customWidth="1"/>
    <col min="9" max="9" width="9.81640625" bestFit="1" customWidth="1"/>
  </cols>
  <sheetData>
    <row r="3" spans="1:9" ht="16" thickBot="1" x14ac:dyDescent="0.4">
      <c r="A3" s="102">
        <v>46165</v>
      </c>
      <c r="B3" s="102"/>
      <c r="C3" s="102"/>
      <c r="D3" s="102"/>
      <c r="E3" s="102"/>
      <c r="F3" s="102"/>
    </row>
    <row r="4" spans="1:9" ht="17.25" customHeight="1" x14ac:dyDescent="0.4">
      <c r="A4" s="108" t="s">
        <v>50</v>
      </c>
      <c r="B4" s="109"/>
      <c r="C4" s="56"/>
      <c r="D4" s="103" t="s">
        <v>1</v>
      </c>
      <c r="E4" s="104"/>
      <c r="F4" s="105"/>
    </row>
    <row r="5" spans="1:9" hidden="1" x14ac:dyDescent="0.25">
      <c r="A5" s="98"/>
      <c r="B5" s="99"/>
      <c r="C5" s="48"/>
      <c r="D5" s="106"/>
      <c r="E5" s="107"/>
      <c r="F5" s="50"/>
    </row>
    <row r="6" spans="1:9" x14ac:dyDescent="0.25">
      <c r="A6" s="98" t="s">
        <v>2</v>
      </c>
      <c r="B6" s="99">
        <v>9839</v>
      </c>
      <c r="C6" s="49"/>
      <c r="D6" s="106" t="s">
        <v>3</v>
      </c>
      <c r="E6" s="107"/>
      <c r="F6" s="96">
        <v>19534.46</v>
      </c>
    </row>
    <row r="7" spans="1:9" x14ac:dyDescent="0.25">
      <c r="A7" s="98" t="s">
        <v>4</v>
      </c>
      <c r="B7" s="99">
        <v>24093</v>
      </c>
      <c r="C7" s="49">
        <f>(B6-B7)/B7</f>
        <v>-0.59162412318930813</v>
      </c>
      <c r="D7" s="106" t="s">
        <v>5</v>
      </c>
      <c r="E7" s="107"/>
      <c r="F7" s="96">
        <f>53154.84+28781.69+24810.66+22467+22045+34218+35912+33240.15+25840.88+19534.46</f>
        <v>300004.68</v>
      </c>
      <c r="G7" s="1"/>
    </row>
    <row r="8" spans="1:9" x14ac:dyDescent="0.25">
      <c r="A8" s="98" t="s">
        <v>6</v>
      </c>
      <c r="B8" s="99">
        <v>200825</v>
      </c>
      <c r="C8" s="49" t="s">
        <v>0</v>
      </c>
      <c r="D8" s="106" t="s">
        <v>7</v>
      </c>
      <c r="E8" s="107"/>
      <c r="F8" s="96">
        <f>145211.69+28268.67</f>
        <v>173480.36</v>
      </c>
      <c r="G8" s="1"/>
      <c r="I8" s="9"/>
    </row>
    <row r="9" spans="1:9" x14ac:dyDescent="0.25">
      <c r="A9" s="98" t="s">
        <v>8</v>
      </c>
      <c r="B9" s="99">
        <v>211219</v>
      </c>
      <c r="C9" s="49">
        <f>(B8-B9)/B9</f>
        <v>-4.9209588152580967E-2</v>
      </c>
      <c r="D9" s="106" t="s">
        <v>9</v>
      </c>
      <c r="E9" s="107"/>
      <c r="F9" s="97">
        <f>356172.15+19534.46</f>
        <v>375706.61000000004</v>
      </c>
      <c r="H9" s="1"/>
      <c r="I9" t="s">
        <v>10</v>
      </c>
    </row>
    <row r="10" spans="1:9" x14ac:dyDescent="0.25">
      <c r="A10" s="100" t="s">
        <v>11</v>
      </c>
      <c r="B10" s="99">
        <v>2645520.4300000002</v>
      </c>
      <c r="C10" s="49"/>
      <c r="D10" s="106"/>
      <c r="E10" s="107"/>
      <c r="F10" s="51"/>
      <c r="G10" s="1"/>
      <c r="H10" s="9"/>
      <c r="I10" s="1"/>
    </row>
    <row r="11" spans="1:9" ht="13" thickBot="1" x14ac:dyDescent="0.3">
      <c r="A11" s="101" t="s">
        <v>12</v>
      </c>
      <c r="B11" s="59">
        <v>2729986</v>
      </c>
      <c r="C11" s="49">
        <f>(B10-B11)/B11</f>
        <v>-3.0939927897066077E-2</v>
      </c>
      <c r="D11" s="106" t="s">
        <v>13</v>
      </c>
      <c r="E11" s="107"/>
      <c r="F11" s="52">
        <f>158801.14+75000</f>
        <v>233801.14</v>
      </c>
      <c r="I11" s="1"/>
    </row>
    <row r="12" spans="1:9" x14ac:dyDescent="0.25">
      <c r="A12" s="22"/>
      <c r="B12" s="42"/>
      <c r="C12" s="43"/>
      <c r="D12" s="106" t="s">
        <v>14</v>
      </c>
      <c r="E12" s="107"/>
      <c r="F12" s="52">
        <v>-578144.55000000005</v>
      </c>
      <c r="I12" s="1"/>
    </row>
    <row r="13" spans="1:9" ht="13" thickBot="1" x14ac:dyDescent="0.3">
      <c r="A13" s="22"/>
      <c r="B13" s="22"/>
      <c r="C13" s="23"/>
      <c r="D13" s="53" t="s">
        <v>15</v>
      </c>
      <c r="E13" s="54"/>
      <c r="F13" s="55">
        <v>10741.72</v>
      </c>
      <c r="I13" s="1"/>
    </row>
    <row r="14" spans="1:9" ht="18" x14ac:dyDescent="0.4">
      <c r="A14" s="103" t="s">
        <v>16</v>
      </c>
      <c r="B14" s="105"/>
      <c r="C14" s="24"/>
      <c r="D14" s="103" t="s">
        <v>17</v>
      </c>
      <c r="E14" s="104"/>
      <c r="F14" s="105"/>
    </row>
    <row r="15" spans="1:9" x14ac:dyDescent="0.25">
      <c r="A15" s="57" t="s">
        <v>49</v>
      </c>
      <c r="B15" s="85">
        <v>14095</v>
      </c>
      <c r="C15" s="60"/>
      <c r="D15" s="106" t="s">
        <v>18</v>
      </c>
      <c r="E15" s="107"/>
      <c r="F15" s="46">
        <v>14</v>
      </c>
    </row>
    <row r="16" spans="1:9" x14ac:dyDescent="0.25">
      <c r="A16" s="57" t="s">
        <v>19</v>
      </c>
      <c r="B16" s="86">
        <v>31</v>
      </c>
      <c r="C16" s="60" t="s">
        <v>0</v>
      </c>
      <c r="D16" s="106" t="s">
        <v>20</v>
      </c>
      <c r="E16" s="107"/>
      <c r="F16" s="46">
        <v>13</v>
      </c>
    </row>
    <row r="17" spans="1:10" x14ac:dyDescent="0.25">
      <c r="A17" s="57" t="s">
        <v>21</v>
      </c>
      <c r="B17" s="62">
        <f>B15/B16</f>
        <v>454.67741935483872</v>
      </c>
      <c r="C17" s="44"/>
      <c r="D17" s="106" t="s">
        <v>22</v>
      </c>
      <c r="E17" s="107"/>
      <c r="F17" s="84">
        <v>602.49</v>
      </c>
    </row>
    <row r="18" spans="1:10" x14ac:dyDescent="0.25">
      <c r="A18" s="57" t="s">
        <v>23</v>
      </c>
      <c r="B18" s="61">
        <f>C27/353</f>
        <v>0</v>
      </c>
      <c r="C18" s="44"/>
      <c r="D18" s="106" t="s">
        <v>24</v>
      </c>
      <c r="E18" s="107"/>
      <c r="F18" s="63">
        <f>11538+2432.49+440+602.49</f>
        <v>15012.98</v>
      </c>
      <c r="G18" s="13"/>
      <c r="H18" t="s">
        <v>0</v>
      </c>
    </row>
    <row r="19" spans="1:10" ht="13.5" thickBot="1" x14ac:dyDescent="0.35">
      <c r="A19" s="57" t="s">
        <v>25</v>
      </c>
      <c r="B19" s="61">
        <f>D27/376</f>
        <v>0</v>
      </c>
      <c r="C19" s="45">
        <f>(B18-B19)</f>
        <v>0</v>
      </c>
      <c r="D19" s="110" t="s">
        <v>26</v>
      </c>
      <c r="E19" s="111"/>
      <c r="F19" s="47">
        <v>0.217</v>
      </c>
    </row>
    <row r="20" spans="1:10" x14ac:dyDescent="0.25">
      <c r="A20" s="57" t="s">
        <v>27</v>
      </c>
      <c r="B20" s="62">
        <f>B27/39</f>
        <v>0</v>
      </c>
      <c r="C20" s="25" t="s">
        <v>0</v>
      </c>
      <c r="D20" s="22"/>
      <c r="E20" s="26"/>
      <c r="F20" s="22" t="s">
        <v>28</v>
      </c>
    </row>
    <row r="21" spans="1:10" x14ac:dyDescent="0.25">
      <c r="A21" s="57" t="s">
        <v>29</v>
      </c>
      <c r="B21" s="62">
        <v>0</v>
      </c>
      <c r="C21" s="25"/>
      <c r="D21" s="27"/>
      <c r="E21" s="26"/>
      <c r="F21" s="22" t="s">
        <v>28</v>
      </c>
    </row>
    <row r="22" spans="1:10" ht="13" thickBot="1" x14ac:dyDescent="0.3">
      <c r="A22" s="58" t="s">
        <v>30</v>
      </c>
      <c r="B22" s="87">
        <v>0</v>
      </c>
      <c r="C22" s="28">
        <f>B21-B22</f>
        <v>0</v>
      </c>
      <c r="D22" s="27"/>
      <c r="E22" s="26"/>
      <c r="F22" s="22" t="s">
        <v>28</v>
      </c>
    </row>
    <row r="23" spans="1:10" ht="15.5" x14ac:dyDescent="0.25">
      <c r="A23" s="29"/>
      <c r="B23" s="30"/>
      <c r="C23" s="31"/>
      <c r="D23" s="32"/>
      <c r="E23" s="32"/>
      <c r="F23" s="33"/>
    </row>
    <row r="24" spans="1:10" ht="13" x14ac:dyDescent="0.3">
      <c r="A24" s="34"/>
      <c r="B24" s="15"/>
      <c r="C24" s="15"/>
      <c r="D24" s="15"/>
      <c r="E24" s="15"/>
      <c r="F24" s="16"/>
      <c r="G24" s="14">
        <v>40830</v>
      </c>
    </row>
    <row r="25" spans="1:10" ht="13.5" thickBot="1" x14ac:dyDescent="0.35">
      <c r="A25" s="35"/>
      <c r="B25" s="17"/>
      <c r="C25" s="17"/>
      <c r="D25" s="17"/>
      <c r="E25" s="17"/>
      <c r="F25" s="18"/>
      <c r="G25">
        <v>138.64285714285714</v>
      </c>
      <c r="H25" s="6" t="s">
        <v>0</v>
      </c>
    </row>
    <row r="26" spans="1:10" ht="15.5" x14ac:dyDescent="0.25">
      <c r="A26" s="36" t="s">
        <v>22</v>
      </c>
      <c r="B26" s="37" t="s">
        <v>2</v>
      </c>
      <c r="C26" s="38" t="s">
        <v>31</v>
      </c>
      <c r="D26" s="38" t="s">
        <v>32</v>
      </c>
      <c r="E26" s="39" t="s">
        <v>33</v>
      </c>
      <c r="F26" s="40" t="s">
        <v>34</v>
      </c>
    </row>
    <row r="27" spans="1:10" x14ac:dyDescent="0.25">
      <c r="A27" s="88" t="s">
        <v>35</v>
      </c>
      <c r="B27" s="68"/>
      <c r="C27" s="68"/>
      <c r="D27" s="68"/>
      <c r="E27" s="89">
        <f>+C27-D27</f>
        <v>0</v>
      </c>
      <c r="F27" s="41" t="e">
        <f>+C27/D27-1</f>
        <v>#DIV/0!</v>
      </c>
      <c r="G27" s="4"/>
    </row>
    <row r="28" spans="1:10" x14ac:dyDescent="0.25">
      <c r="A28" s="88" t="s">
        <v>36</v>
      </c>
      <c r="B28" s="68"/>
      <c r="C28" s="68"/>
      <c r="D28" s="68"/>
      <c r="E28" s="89"/>
      <c r="F28" s="41" t="e">
        <f t="shared" ref="F28:F58" si="0">+C28/D28-1</f>
        <v>#DIV/0!</v>
      </c>
      <c r="G28" s="2"/>
    </row>
    <row r="29" spans="1:10" x14ac:dyDescent="0.25">
      <c r="A29" s="67" t="s">
        <v>51</v>
      </c>
      <c r="B29" s="69"/>
      <c r="C29" s="69"/>
      <c r="D29" s="68"/>
      <c r="E29" s="90">
        <f>+C29-D29</f>
        <v>0</v>
      </c>
      <c r="F29" s="65" t="e">
        <f>+C29/D29-1</f>
        <v>#DIV/0!</v>
      </c>
      <c r="G29" s="3"/>
    </row>
    <row r="30" spans="1:10" x14ac:dyDescent="0.25">
      <c r="A30" s="77"/>
      <c r="B30" s="78"/>
      <c r="C30" s="78"/>
      <c r="D30" s="68"/>
      <c r="E30" s="78"/>
      <c r="F30" s="78"/>
      <c r="G30" s="64"/>
      <c r="H30" s="10"/>
      <c r="I30" s="10"/>
      <c r="J30" s="11"/>
    </row>
    <row r="31" spans="1:10" x14ac:dyDescent="0.25">
      <c r="A31" s="91" t="s">
        <v>37</v>
      </c>
      <c r="B31" s="70"/>
      <c r="C31" s="70"/>
      <c r="D31" s="68"/>
      <c r="E31" s="92">
        <f>+C31-D31</f>
        <v>0</v>
      </c>
      <c r="F31" s="66" t="e">
        <f>+C31/D31-1</f>
        <v>#DIV/0!</v>
      </c>
      <c r="G31" s="5"/>
      <c r="H31" s="10"/>
      <c r="I31" s="10"/>
      <c r="J31" s="11"/>
    </row>
    <row r="32" spans="1:10" x14ac:dyDescent="0.25">
      <c r="A32" s="67" t="s">
        <v>38</v>
      </c>
      <c r="B32" s="69"/>
      <c r="C32" s="69"/>
      <c r="D32" s="68"/>
      <c r="E32" s="90">
        <f>+C32-D32</f>
        <v>0</v>
      </c>
      <c r="F32" s="65" t="e">
        <f>+C32/D32-1</f>
        <v>#DIV/0!</v>
      </c>
      <c r="G32" s="5"/>
      <c r="H32" s="10"/>
      <c r="I32" s="10"/>
    </row>
    <row r="33" spans="1:7" x14ac:dyDescent="0.25">
      <c r="A33" s="81"/>
      <c r="B33" s="79"/>
      <c r="C33" s="79"/>
      <c r="D33" s="68"/>
      <c r="E33" s="79"/>
      <c r="F33" s="80"/>
      <c r="G33" s="64"/>
    </row>
    <row r="34" spans="1:7" x14ac:dyDescent="0.25">
      <c r="A34" s="81"/>
      <c r="B34" s="79"/>
      <c r="C34" s="79"/>
      <c r="D34" s="68"/>
      <c r="E34" s="79"/>
      <c r="F34" s="80"/>
      <c r="G34" s="64"/>
    </row>
    <row r="35" spans="1:7" x14ac:dyDescent="0.25">
      <c r="A35" s="81"/>
      <c r="B35" s="79"/>
      <c r="C35" s="79"/>
      <c r="D35" s="68"/>
      <c r="E35" s="79"/>
      <c r="F35" s="80"/>
      <c r="G35" s="64"/>
    </row>
    <row r="36" spans="1:7" x14ac:dyDescent="0.25">
      <c r="A36" s="77"/>
      <c r="B36" s="78"/>
      <c r="C36" s="78"/>
      <c r="D36" s="68"/>
      <c r="E36" s="79"/>
      <c r="F36" s="80"/>
      <c r="G36" s="64"/>
    </row>
    <row r="37" spans="1:7" x14ac:dyDescent="0.25">
      <c r="A37" s="75" t="s">
        <v>39</v>
      </c>
      <c r="B37" s="72"/>
      <c r="C37" s="72"/>
      <c r="D37" s="68"/>
      <c r="E37" s="93">
        <f>+C37-D37</f>
        <v>0</v>
      </c>
      <c r="F37" s="73" t="e">
        <f>+C37/D37-1</f>
        <v>#DIV/0!</v>
      </c>
      <c r="G37" s="5"/>
    </row>
    <row r="38" spans="1:7" x14ac:dyDescent="0.25">
      <c r="A38" s="75" t="s">
        <v>42</v>
      </c>
      <c r="B38" s="79"/>
      <c r="C38" s="79"/>
      <c r="D38" s="68"/>
      <c r="E38" s="79"/>
      <c r="F38" s="80"/>
      <c r="G38" s="64"/>
    </row>
    <row r="39" spans="1:7" x14ac:dyDescent="0.25">
      <c r="A39" s="75" t="s">
        <v>52</v>
      </c>
      <c r="B39" s="79"/>
      <c r="C39" s="79"/>
      <c r="D39" s="68"/>
      <c r="E39" s="79"/>
      <c r="F39" s="80"/>
      <c r="G39" s="64"/>
    </row>
    <row r="40" spans="1:7" x14ac:dyDescent="0.25">
      <c r="A40" s="75" t="s">
        <v>53</v>
      </c>
      <c r="B40" s="79"/>
      <c r="C40" s="79"/>
      <c r="D40" s="68"/>
      <c r="E40" s="77"/>
      <c r="F40" s="77"/>
      <c r="G40" s="64"/>
    </row>
    <row r="41" spans="1:7" ht="13" x14ac:dyDescent="0.3">
      <c r="A41" s="75" t="s">
        <v>40</v>
      </c>
      <c r="B41" s="74"/>
      <c r="C41" s="74"/>
      <c r="D41" s="68"/>
      <c r="E41" s="93">
        <f>+C41-D41</f>
        <v>0</v>
      </c>
      <c r="F41" s="73" t="e">
        <f>+C41/D41-1</f>
        <v>#DIV/0!</v>
      </c>
      <c r="G41" s="5"/>
    </row>
    <row r="42" spans="1:7" ht="13" x14ac:dyDescent="0.3">
      <c r="A42" s="81"/>
      <c r="B42" s="82"/>
      <c r="C42" s="82"/>
      <c r="D42" s="68"/>
      <c r="E42" s="79"/>
      <c r="F42" s="80"/>
      <c r="G42" s="64"/>
    </row>
    <row r="43" spans="1:7" x14ac:dyDescent="0.25">
      <c r="A43" s="77"/>
      <c r="B43" s="79"/>
      <c r="C43" s="79"/>
      <c r="D43" s="68"/>
      <c r="E43" s="78"/>
      <c r="F43" s="78"/>
      <c r="G43" s="64"/>
    </row>
    <row r="44" spans="1:7" x14ac:dyDescent="0.25">
      <c r="A44" s="75" t="s">
        <v>41</v>
      </c>
      <c r="B44" s="72"/>
      <c r="C44" s="72"/>
      <c r="D44" s="68"/>
      <c r="E44" s="93">
        <f>+C44-D44</f>
        <v>0</v>
      </c>
      <c r="F44" s="73" t="e">
        <f>+C44/D44-1</f>
        <v>#DIV/0!</v>
      </c>
      <c r="G44" s="5"/>
    </row>
    <row r="45" spans="1:7" x14ac:dyDescent="0.25">
      <c r="A45" s="81"/>
      <c r="B45" s="79"/>
      <c r="C45" s="79"/>
      <c r="D45" s="68"/>
      <c r="E45" s="79"/>
      <c r="F45" s="80"/>
      <c r="G45" s="64"/>
    </row>
    <row r="46" spans="1:7" x14ac:dyDescent="0.25">
      <c r="A46" s="81"/>
      <c r="B46" s="79"/>
      <c r="C46" s="79"/>
      <c r="D46" s="68"/>
      <c r="E46" s="79"/>
      <c r="F46" s="80"/>
      <c r="G46" s="64"/>
    </row>
    <row r="47" spans="1:7" x14ac:dyDescent="0.25">
      <c r="A47" s="81"/>
      <c r="B47" s="79"/>
      <c r="C47" s="79"/>
      <c r="D47" s="68"/>
      <c r="E47" s="79"/>
      <c r="F47" s="80"/>
      <c r="G47" s="64"/>
    </row>
    <row r="48" spans="1:7" x14ac:dyDescent="0.25">
      <c r="A48" s="81"/>
      <c r="B48" s="79"/>
      <c r="C48" s="79"/>
      <c r="D48" s="68"/>
      <c r="E48" s="79"/>
      <c r="F48" s="80"/>
      <c r="G48" s="64"/>
    </row>
    <row r="49" spans="1:7" x14ac:dyDescent="0.25">
      <c r="A49" s="77"/>
      <c r="B49" s="78"/>
      <c r="C49" s="78"/>
      <c r="D49" s="68"/>
      <c r="E49" s="78"/>
      <c r="F49" s="78"/>
      <c r="G49" s="64"/>
    </row>
    <row r="50" spans="1:7" x14ac:dyDescent="0.25">
      <c r="A50" s="75" t="s">
        <v>42</v>
      </c>
      <c r="B50" s="72"/>
      <c r="C50" s="72"/>
      <c r="D50" s="68"/>
      <c r="E50" s="93">
        <f>+C50-D50</f>
        <v>0</v>
      </c>
      <c r="F50" s="73" t="e">
        <f>+C50/D50-1</f>
        <v>#DIV/0!</v>
      </c>
      <c r="G50" s="5"/>
    </row>
    <row r="51" spans="1:7" x14ac:dyDescent="0.25">
      <c r="A51" s="81"/>
      <c r="B51" s="79"/>
      <c r="C51" s="79"/>
      <c r="D51" s="79"/>
      <c r="E51" s="79"/>
      <c r="F51" s="80"/>
      <c r="G51" s="64"/>
    </row>
    <row r="52" spans="1:7" x14ac:dyDescent="0.25">
      <c r="A52" s="81"/>
      <c r="B52" s="79"/>
      <c r="C52" s="79"/>
      <c r="D52" s="79"/>
      <c r="E52" s="79"/>
      <c r="F52" s="80"/>
      <c r="G52" s="64"/>
    </row>
    <row r="53" spans="1:7" x14ac:dyDescent="0.25">
      <c r="A53" s="81"/>
      <c r="B53" s="79"/>
      <c r="C53" s="79"/>
      <c r="D53" s="79"/>
      <c r="E53" s="79"/>
      <c r="F53" s="80"/>
      <c r="G53" s="64"/>
    </row>
    <row r="54" spans="1:7" x14ac:dyDescent="0.25">
      <c r="A54" s="81"/>
      <c r="B54" s="79"/>
      <c r="C54" s="79"/>
      <c r="D54" s="79"/>
      <c r="E54" s="79"/>
      <c r="F54" s="80"/>
      <c r="G54" s="64"/>
    </row>
    <row r="55" spans="1:7" x14ac:dyDescent="0.25">
      <c r="A55" s="81"/>
      <c r="B55" s="79"/>
      <c r="C55" s="79"/>
      <c r="D55" s="79"/>
      <c r="E55" s="79"/>
      <c r="F55" s="80"/>
      <c r="G55" s="64"/>
    </row>
    <row r="56" spans="1:7" x14ac:dyDescent="0.25">
      <c r="A56" s="81"/>
      <c r="B56" s="79"/>
      <c r="C56" s="79"/>
      <c r="D56" s="78"/>
      <c r="E56" s="78"/>
      <c r="F56" s="78"/>
      <c r="G56" s="64"/>
    </row>
    <row r="57" spans="1:7" x14ac:dyDescent="0.25">
      <c r="A57" s="83"/>
      <c r="B57" s="79"/>
      <c r="C57" s="79"/>
      <c r="D57" s="79"/>
      <c r="E57" s="79"/>
      <c r="F57" s="80"/>
      <c r="G57" s="12"/>
    </row>
    <row r="58" spans="1:7" ht="13" x14ac:dyDescent="0.3">
      <c r="A58" s="76" t="s">
        <v>43</v>
      </c>
      <c r="B58" s="71">
        <f>SUM(B27:B57)</f>
        <v>0</v>
      </c>
      <c r="C58" s="71">
        <f t="shared" ref="C58:D58" si="1">SUM(C27:C57)</f>
        <v>0</v>
      </c>
      <c r="D58" s="71">
        <f t="shared" si="1"/>
        <v>0</v>
      </c>
      <c r="E58" s="92">
        <f t="shared" ref="E58" si="2">+C58-D58</f>
        <v>0</v>
      </c>
      <c r="F58" s="66" t="e">
        <f t="shared" si="0"/>
        <v>#DIV/0!</v>
      </c>
      <c r="G58" s="94"/>
    </row>
    <row r="59" spans="1:7" ht="13" x14ac:dyDescent="0.3">
      <c r="A59" s="7"/>
    </row>
    <row r="60" spans="1:7" x14ac:dyDescent="0.25">
      <c r="B60" s="8"/>
      <c r="C60" s="8"/>
    </row>
    <row r="61" spans="1:7" x14ac:dyDescent="0.25">
      <c r="C61" s="8"/>
    </row>
  </sheetData>
  <mergeCells count="18">
    <mergeCell ref="A14:B14"/>
    <mergeCell ref="D14:F14"/>
    <mergeCell ref="D10:E10"/>
    <mergeCell ref="D11:E11"/>
    <mergeCell ref="D8:E8"/>
    <mergeCell ref="D9:E9"/>
    <mergeCell ref="D19:E19"/>
    <mergeCell ref="D15:E15"/>
    <mergeCell ref="D16:E16"/>
    <mergeCell ref="D17:E17"/>
    <mergeCell ref="D18:E18"/>
    <mergeCell ref="A3:F3"/>
    <mergeCell ref="D4:F4"/>
    <mergeCell ref="D5:E5"/>
    <mergeCell ref="D6:E6"/>
    <mergeCell ref="D12:E12"/>
    <mergeCell ref="D7:E7"/>
    <mergeCell ref="A4:B4"/>
  </mergeCells>
  <phoneticPr fontId="0" type="noConversion"/>
  <conditionalFormatting sqref="B15">
    <cfRule type="expression" dxfId="6" priority="4">
      <formula>$B15+1=TODAY()</formula>
    </cfRule>
    <cfRule type="expression" dxfId="5" priority="5">
      <formula>DAY(INDIRECT("$B"&amp;ROW()))=1</formula>
    </cfRule>
  </conditionalFormatting>
  <conditionalFormatting sqref="B27:C29 E27:F29 D27:D50 B31:C35 E41:F42 E44:F48 B50:F55 B56:C56 B57:D57 E57:F58">
    <cfRule type="cellIs" dxfId="4" priority="6" stopIfTrue="1" operator="equal">
      <formula>0</formula>
    </cfRule>
  </conditionalFormatting>
  <conditionalFormatting sqref="E31:F39 B37:C48">
    <cfRule type="cellIs" dxfId="3" priority="2" stopIfTrue="1" operator="equal">
      <formula>0</formula>
    </cfRule>
  </conditionalFormatting>
  <conditionalFormatting sqref="F17">
    <cfRule type="cellIs" dxfId="2" priority="3" stopIfTrue="1" operator="equal">
      <formula>0</formula>
    </cfRule>
  </conditionalFormatting>
  <conditionalFormatting sqref="F27:F29 F31:F39 F41:F42 F44:F48 F50:F55 F57:F58">
    <cfRule type="cellIs" dxfId="1" priority="17" stopIfTrue="1" operator="lessThanOrEqual">
      <formula>0</formula>
    </cfRule>
  </conditionalFormatting>
  <conditionalFormatting sqref="F27:F29 F41:F42 F44:F48 F50:F55 F57:F58 F31:F39">
    <cfRule type="cellIs" dxfId="0" priority="14" stopIfTrue="1" operator="greaterThanOrEqual">
      <formula>0</formula>
    </cfRule>
  </conditionalFormatting>
  <printOptions horizontalCentered="1"/>
  <pageMargins left="0.25" right="0.25" top="0" bottom="0" header="0" footer="0"/>
  <pageSetup scale="99" orientation="portrait" r:id="rId1"/>
  <headerFooter alignWithMargins="0"/>
  <rowBreaks count="1" manualBreakCount="1">
    <brk id="56" max="16383" man="1"/>
  </rowBreaks>
  <colBreaks count="2" manualBreakCount="2">
    <brk id="1" max="1048575" man="1"/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B7"/>
  <sheetViews>
    <sheetView workbookViewId="0">
      <selection activeCell="B7" sqref="B7"/>
    </sheetView>
  </sheetViews>
  <sheetFormatPr defaultColWidth="8.81640625" defaultRowHeight="12.5" x14ac:dyDescent="0.25"/>
  <cols>
    <col min="1" max="1" width="4.6328125" customWidth="1"/>
    <col min="2" max="2" width="75.1796875" style="19" customWidth="1"/>
  </cols>
  <sheetData>
    <row r="2" spans="2:2" ht="13" x14ac:dyDescent="0.25">
      <c r="B2" s="20" t="s">
        <v>44</v>
      </c>
    </row>
    <row r="3" spans="2:2" ht="30.75" customHeight="1" x14ac:dyDescent="0.25">
      <c r="B3" s="95" t="s">
        <v>45</v>
      </c>
    </row>
    <row r="4" spans="2:2" ht="18" customHeight="1" x14ac:dyDescent="0.25">
      <c r="B4" s="95" t="s">
        <v>46</v>
      </c>
    </row>
    <row r="5" spans="2:2" x14ac:dyDescent="0.25">
      <c r="B5" s="21"/>
    </row>
    <row r="6" spans="2:2" x14ac:dyDescent="0.25">
      <c r="B6" s="95" t="s">
        <v>47</v>
      </c>
    </row>
    <row r="7" spans="2:2" ht="25" x14ac:dyDescent="0.25">
      <c r="B7" s="19" t="s">
        <v>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dc4dc2-2ec2-43e9-8f94-f5870e81c4cd">
      <Terms xmlns="http://schemas.microsoft.com/office/infopath/2007/PartnerControls"/>
    </lcf76f155ced4ddcb4097134ff3c332f>
    <TaxCatchAll xmlns="ee3cf40a-f169-48b1-a7bd-addeb317f7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C4ADBF0C00F469B9370EE17EC2365" ma:contentTypeVersion="12" ma:contentTypeDescription="Create a new document." ma:contentTypeScope="" ma:versionID="e4926921d97bacc1a28d65a28a31a583">
  <xsd:schema xmlns:xsd="http://www.w3.org/2001/XMLSchema" xmlns:xs="http://www.w3.org/2001/XMLSchema" xmlns:p="http://schemas.microsoft.com/office/2006/metadata/properties" xmlns:ns2="94dc4dc2-2ec2-43e9-8f94-f5870e81c4cd" xmlns:ns3="ee3cf40a-f169-48b1-a7bd-addeb317f7df" targetNamespace="http://schemas.microsoft.com/office/2006/metadata/properties" ma:root="true" ma:fieldsID="dc0f7928e132ab5227fb31a751618f95" ns2:_="" ns3:_="">
    <xsd:import namespace="94dc4dc2-2ec2-43e9-8f94-f5870e81c4cd"/>
    <xsd:import namespace="ee3cf40a-f169-48b1-a7bd-addeb317f7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dc4dc2-2ec2-43e9-8f94-f5870e81c4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bcfa15-43f2-41df-b914-eb6f152a2a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cf40a-f169-48b1-a7bd-addeb317f7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a9c5c5-0030-4285-8668-406c7f46df49}" ma:internalName="TaxCatchAll" ma:showField="CatchAllData" ma:web="ee3cf40a-f169-48b1-a7bd-addeb317f7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7EDB78-65CD-4F80-886F-1A64648DD0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45010A-63C6-47D7-A671-ACFF8009621F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94dc4dc2-2ec2-43e9-8f94-f5870e81c4cd"/>
    <ds:schemaRef ds:uri="http://purl.org/dc/dcmitype/"/>
    <ds:schemaRef ds:uri="ee3cf40a-f169-48b1-a7bd-addeb317f7d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575EF5C-54D6-43F7-A522-A72ED8A2C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dc4dc2-2ec2-43e9-8f94-f5870e81c4cd"/>
    <ds:schemaRef ds:uri="ee3cf40a-f169-48b1-a7bd-addeb317f7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Daily Report</vt:lpstr>
      <vt:lpstr>Instructions</vt:lpstr>
      <vt:lpstr>'Daily Report'!Print_Area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Kay</dc:creator>
  <cp:keywords/>
  <dc:description/>
  <cp:lastModifiedBy>Chris  Hanagan</cp:lastModifiedBy>
  <cp:revision/>
  <cp:lastPrinted>2026-02-16T12:38:53Z</cp:lastPrinted>
  <dcterms:created xsi:type="dcterms:W3CDTF">2003-07-02T13:51:05Z</dcterms:created>
  <dcterms:modified xsi:type="dcterms:W3CDTF">2026-07-11T21:33:10Z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0x01010053FC4ADBF0C00F469B9370EE17EC2365</vt:lpwstr>
  </property>
</Properties>
</file>